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I:\SOURCETREE\KRAVT\kravt-footbot-3\kravt-footbot-3\reference\robosd-pp\content\doc\"/>
    </mc:Choice>
  </mc:AlternateContent>
  <xr:revisionPtr revIDLastSave="0" documentId="13_ncr:1_{AC2FAE1E-93B0-4772-99C4-52025133212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J10" i="1"/>
  <c r="H10" i="1"/>
  <c r="B26" i="1"/>
  <c r="B12" i="1"/>
  <c r="N26" i="1"/>
  <c r="L39" i="1"/>
  <c r="K40" i="1"/>
  <c r="J40" i="1"/>
  <c r="B25" i="1"/>
  <c r="J41" i="1"/>
  <c r="J39" i="1"/>
  <c r="K39" i="1"/>
  <c r="I39" i="1"/>
  <c r="E30" i="1"/>
  <c r="F30" i="1" s="1"/>
  <c r="F31" i="1" s="1"/>
  <c r="E4" i="1"/>
  <c r="K6" i="1"/>
  <c r="K5" i="1"/>
  <c r="M19" i="1"/>
  <c r="J27" i="1"/>
  <c r="K16" i="1"/>
  <c r="B27" i="1"/>
  <c r="D20" i="1"/>
  <c r="E8" i="1"/>
  <c r="E9" i="1" s="1"/>
  <c r="E10" i="1" s="1"/>
  <c r="E7" i="1"/>
  <c r="E3" i="1"/>
  <c r="B9" i="1"/>
  <c r="B10" i="1" s="1"/>
  <c r="B11" i="1" s="1"/>
  <c r="C11" i="1" s="1"/>
  <c r="B3" i="1"/>
  <c r="B13" i="1" s="1"/>
  <c r="B28" i="1" l="1"/>
  <c r="B29" i="1" s="1"/>
  <c r="E20" i="1"/>
  <c r="B4" i="1"/>
  <c r="B33" i="1" l="1"/>
  <c r="B30" i="1"/>
  <c r="B31" i="1" s="1"/>
  <c r="C30" i="1"/>
  <c r="C29" i="1"/>
  <c r="D29" i="1" s="1"/>
  <c r="B6" i="1"/>
</calcChain>
</file>

<file path=xl/sharedStrings.xml><?xml version="1.0" encoding="utf-8"?>
<sst xmlns="http://schemas.openxmlformats.org/spreadsheetml/2006/main" count="29" uniqueCount="27">
  <si>
    <t>Период, us</t>
  </si>
  <si>
    <t>Период, presc</t>
  </si>
  <si>
    <t>Тик, us</t>
  </si>
  <si>
    <t>Разрешение энкодера</t>
  </si>
  <si>
    <t>Электрических оборотов за секунду</t>
  </si>
  <si>
    <t>RPM</t>
  </si>
  <si>
    <t>RPM/Попугаев за такт</t>
  </si>
  <si>
    <t>Период, presc, бит</t>
  </si>
  <si>
    <t>Умножитель для фильтра (суммарнос presc=15)</t>
  </si>
  <si>
    <t>Пульсов за тик</t>
  </si>
  <si>
    <t>Электрических оборотов за тик</t>
  </si>
  <si>
    <t>Делитель с учетом presc и умножителя  фильтра</t>
  </si>
  <si>
    <t>пульс за такт</t>
  </si>
  <si>
    <t>пульс за после умножителя</t>
  </si>
  <si>
    <t>пульс за после предделителя</t>
  </si>
  <si>
    <t>оборотов в минуту</t>
  </si>
  <si>
    <t>пульсов за секунду</t>
  </si>
  <si>
    <t>оборотов за секунду</t>
  </si>
  <si>
    <t>пульсов за период изменения</t>
  </si>
  <si>
    <t>с учетом умножителя</t>
  </si>
  <si>
    <t>motor control presc</t>
  </si>
  <si>
    <t>slot presc</t>
  </si>
  <si>
    <t>filter presc</t>
  </si>
  <si>
    <t>время измерения скорости</t>
  </si>
  <si>
    <t xml:space="preserve">период </t>
  </si>
  <si>
    <t>пульсов энкодера за секунду</t>
  </si>
  <si>
    <t>оборотов вминуту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</si>
</sst>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C31" sqref="C31"/>
    </sheetView>
  </sheetViews>
  <sheetFormatPr defaultRowHeight="15" x14ac:dyDescent="0.25"/>
  <cols>
    <col min="1" max="1" width="44.28515625" customWidth="1"/>
    <col min="3" max="3" width="16.42578125" customWidth="1"/>
    <col min="4" max="4" width="45.85546875" customWidth="1"/>
    <col min="5" max="5" width="21.7109375" customWidth="1"/>
    <col min="6" max="6" width="27" customWidth="1"/>
  </cols>
  <sheetData>
    <row r="1" spans="1:11" x14ac:dyDescent="0.25">
      <c r="A1" t="s">
        <v>8</v>
      </c>
      <c r="B1">
        <v>5</v>
      </c>
    </row>
    <row r="2" spans="1:11" x14ac:dyDescent="0.25">
      <c r="A2" t="s">
        <v>3</v>
      </c>
      <c r="B2">
        <v>8</v>
      </c>
      <c r="D2" t="s">
        <v>12</v>
      </c>
      <c r="E2">
        <v>1</v>
      </c>
    </row>
    <row r="3" spans="1:11" x14ac:dyDescent="0.25">
      <c r="A3" t="s">
        <v>7</v>
      </c>
      <c r="B3">
        <f>15-B1-B2+8</f>
        <v>10</v>
      </c>
      <c r="D3" t="s">
        <v>13</v>
      </c>
      <c r="E3">
        <f>E2*2^B1</f>
        <v>32</v>
      </c>
    </row>
    <row r="4" spans="1:11" x14ac:dyDescent="0.25">
      <c r="A4" t="s">
        <v>1</v>
      </c>
      <c r="B4">
        <f>2^B3</f>
        <v>1024</v>
      </c>
      <c r="D4" t="s">
        <v>14</v>
      </c>
      <c r="E4">
        <f>E3*2^B3</f>
        <v>32768</v>
      </c>
    </row>
    <row r="5" spans="1:11" x14ac:dyDescent="0.25">
      <c r="A5" t="s">
        <v>2</v>
      </c>
      <c r="B5">
        <v>50</v>
      </c>
      <c r="K5">
        <f>0.023-0.011</f>
        <v>1.2E-2</v>
      </c>
    </row>
    <row r="6" spans="1:11" x14ac:dyDescent="0.25">
      <c r="A6" t="s">
        <v>0</v>
      </c>
      <c r="B6">
        <f>B4*B5</f>
        <v>51200</v>
      </c>
      <c r="D6" t="s">
        <v>15</v>
      </c>
      <c r="E6">
        <v>1</v>
      </c>
      <c r="K6">
        <f>50*16*16</f>
        <v>12800</v>
      </c>
    </row>
    <row r="7" spans="1:11" x14ac:dyDescent="0.25">
      <c r="D7" t="s">
        <v>17</v>
      </c>
      <c r="E7">
        <f>E6*60</f>
        <v>60</v>
      </c>
    </row>
    <row r="8" spans="1:11" x14ac:dyDescent="0.25">
      <c r="A8" t="s">
        <v>9</v>
      </c>
      <c r="B8">
        <v>1</v>
      </c>
      <c r="D8" t="s">
        <v>16</v>
      </c>
      <c r="E8">
        <f>E7*2^B2</f>
        <v>15360</v>
      </c>
    </row>
    <row r="9" spans="1:11" x14ac:dyDescent="0.25">
      <c r="A9" t="s">
        <v>10</v>
      </c>
      <c r="B9">
        <f>B8/2^B2</f>
        <v>3.90625E-3</v>
      </c>
      <c r="D9" t="s">
        <v>18</v>
      </c>
      <c r="E9">
        <f>E8*B5*2^B3/1000000</f>
        <v>786.43200000000002</v>
      </c>
    </row>
    <row r="10" spans="1:11" x14ac:dyDescent="0.25">
      <c r="A10" t="s">
        <v>4</v>
      </c>
      <c r="B10">
        <f>B9/B5*1000000</f>
        <v>78.125</v>
      </c>
      <c r="D10" t="s">
        <v>19</v>
      </c>
      <c r="E10">
        <f>E9*2^B1</f>
        <v>25165.824000000001</v>
      </c>
      <c r="H10">
        <f>60000000*256/256/50/1/16/16/8</f>
        <v>585.9375</v>
      </c>
      <c r="I10">
        <v>26.2</v>
      </c>
      <c r="J10">
        <f>H10*I10/256</f>
        <v>59.967041015625</v>
      </c>
    </row>
    <row r="11" spans="1:11" x14ac:dyDescent="0.25">
      <c r="A11" t="s">
        <v>5</v>
      </c>
      <c r="B11">
        <f>B10*60</f>
        <v>4687.5</v>
      </c>
      <c r="C11">
        <f>B8*ROUND(B12,0)</f>
        <v>4688</v>
      </c>
    </row>
    <row r="12" spans="1:11" x14ac:dyDescent="0.25">
      <c r="A12" t="s">
        <v>6</v>
      </c>
      <c r="B12">
        <f>B11/B8</f>
        <v>4687.5</v>
      </c>
    </row>
    <row r="13" spans="1:11" x14ac:dyDescent="0.25">
      <c r="A13" t="s">
        <v>11</v>
      </c>
      <c r="B13">
        <f>B1+B3</f>
        <v>15</v>
      </c>
    </row>
    <row r="16" spans="1:11" x14ac:dyDescent="0.25">
      <c r="K16">
        <f>8/33</f>
        <v>0.24242424242424243</v>
      </c>
    </row>
    <row r="19" spans="1:14" x14ac:dyDescent="0.25">
      <c r="M19">
        <f>42*4</f>
        <v>168</v>
      </c>
    </row>
    <row r="20" spans="1:14" x14ac:dyDescent="0.25">
      <c r="D20">
        <f>1/B5*1000000*60</f>
        <v>1200000</v>
      </c>
      <c r="E20">
        <f>D20*(2^(B1+B3))</f>
        <v>39321600000</v>
      </c>
    </row>
    <row r="21" spans="1:14" x14ac:dyDescent="0.25">
      <c r="A21" t="s">
        <v>24</v>
      </c>
      <c r="B21">
        <v>50</v>
      </c>
    </row>
    <row r="22" spans="1:14" x14ac:dyDescent="0.25">
      <c r="A22" t="s">
        <v>20</v>
      </c>
      <c r="B22">
        <v>1</v>
      </c>
    </row>
    <row r="23" spans="1:14" x14ac:dyDescent="0.25">
      <c r="A23" t="s">
        <v>21</v>
      </c>
      <c r="B23">
        <v>16</v>
      </c>
    </row>
    <row r="24" spans="1:14" x14ac:dyDescent="0.25">
      <c r="A24" t="s">
        <v>22</v>
      </c>
      <c r="B24">
        <v>16</v>
      </c>
    </row>
    <row r="25" spans="1:14" x14ac:dyDescent="0.25">
      <c r="A25" t="s">
        <v>23</v>
      </c>
      <c r="B25">
        <f>B21*B22*B23/1000000</f>
        <v>8.0000000000000004E-4</v>
      </c>
    </row>
    <row r="26" spans="1:14" x14ac:dyDescent="0.25">
      <c r="A26" t="s">
        <v>16</v>
      </c>
      <c r="B26">
        <f>1/B25</f>
        <v>1250</v>
      </c>
      <c r="N26">
        <f>4885/8</f>
        <v>610.625</v>
      </c>
    </row>
    <row r="27" spans="1:14" x14ac:dyDescent="0.25">
      <c r="A27" t="s">
        <v>25</v>
      </c>
      <c r="B27">
        <f>B26/B24</f>
        <v>78.125</v>
      </c>
      <c r="J27">
        <f>256/6</f>
        <v>42.666666666666664</v>
      </c>
    </row>
    <row r="28" spans="1:14" x14ac:dyDescent="0.25">
      <c r="A28" t="s">
        <v>17</v>
      </c>
      <c r="B28">
        <f>B27/2^B2</f>
        <v>0.30517578125</v>
      </c>
    </row>
    <row r="29" spans="1:14" x14ac:dyDescent="0.25">
      <c r="A29" t="s">
        <v>26</v>
      </c>
      <c r="B29">
        <f>B28*60</f>
        <v>18.310546875</v>
      </c>
      <c r="C29">
        <f>B29*33</f>
        <v>604.248046875</v>
      </c>
      <c r="D29">
        <f>C29/8</f>
        <v>75.531005859375</v>
      </c>
    </row>
    <row r="30" spans="1:14" x14ac:dyDescent="0.25">
      <c r="B30">
        <f>1/B29</f>
        <v>5.4613333333333333E-2</v>
      </c>
      <c r="C30">
        <f>B29*420</f>
        <v>7690.4296875</v>
      </c>
      <c r="D30">
        <v>168</v>
      </c>
      <c r="E30">
        <f>168/B25</f>
        <v>210000</v>
      </c>
      <c r="F30">
        <f>E30/256</f>
        <v>820.3125</v>
      </c>
    </row>
    <row r="31" spans="1:14" x14ac:dyDescent="0.25">
      <c r="B31">
        <f>B30*60*8</f>
        <v>26.214400000000001</v>
      </c>
      <c r="C31">
        <f>B31/60*1000</f>
        <v>436.90666666666664</v>
      </c>
      <c r="F31">
        <f>F30/D30</f>
        <v>4.8828125</v>
      </c>
    </row>
    <row r="33" spans="2:12" x14ac:dyDescent="0.25">
      <c r="B33">
        <f>B29*B221</f>
        <v>0</v>
      </c>
    </row>
    <row r="34" spans="2:12" x14ac:dyDescent="0.25">
      <c r="J34">
        <v>256</v>
      </c>
    </row>
    <row r="39" spans="2:12" x14ac:dyDescent="0.25">
      <c r="I39">
        <f>0.149-0.055</f>
        <v>9.4E-2</v>
      </c>
      <c r="J39">
        <f>1/I39</f>
        <v>10.638297872340425</v>
      </c>
      <c r="K39">
        <f>J39/8</f>
        <v>1.3297872340425532</v>
      </c>
      <c r="L39">
        <f>K39*60</f>
        <v>79.787234042553195</v>
      </c>
    </row>
    <row r="40" spans="2:12" x14ac:dyDescent="0.25">
      <c r="J40">
        <f>J39*256</f>
        <v>2723.4042553191489</v>
      </c>
      <c r="K40">
        <f>J40*60</f>
        <v>163404.25531914894</v>
      </c>
    </row>
    <row r="41" spans="2:12" x14ac:dyDescent="0.25">
      <c r="J41">
        <f>J40*B25</f>
        <v>2.1787234042553192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Юсупов</dc:creator>
  <cp:lastModifiedBy>Андрей Юсупов</cp:lastModifiedBy>
  <dcterms:created xsi:type="dcterms:W3CDTF">2015-06-05T18:19:34Z</dcterms:created>
  <dcterms:modified xsi:type="dcterms:W3CDTF">2023-10-04T13:47:28Z</dcterms:modified>
</cp:coreProperties>
</file>